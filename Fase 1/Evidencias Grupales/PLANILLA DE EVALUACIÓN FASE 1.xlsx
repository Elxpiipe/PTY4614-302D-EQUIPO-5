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Escritorio 2026\DUOC 2026-2\CAPSTONE\DOCUMENTOS POR FASE\DOCUMENTOS FASE1\EQUIPO 5\"/>
    </mc:Choice>
  </mc:AlternateContent>
  <bookViews>
    <workbookView xWindow="0" yWindow="0" windowWidth="28800" windowHeight="12315"/>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<sst xmlns="http://schemas.openxmlformats.org/spreadsheetml/2006/main" count="157" uniqueCount="98">
  <si>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</si>
  <si>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</si>
  <si>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</si>
  <si>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</si>
  <si>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</si>
  <si>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</si>
  <si>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</si>
  <si>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</si>
  <si>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</si>
  <si>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</si>
  <si>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</si>
  <si>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</si>
  <si>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</si>
  <si>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</si>
  <si>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</si>
  <si>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</si>
  <si>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</si>
  <si>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</si>
  <si>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</si>
  <si>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</si>
  <si>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</si>
  <si>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</si>
  <si>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</si>
  <si>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</si>
  <si>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</si>
  <si>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</si>
  <si>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</si>
  <si>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</si>
  <si>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</si>
  <si>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</si>
  <si>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</si>
  <si>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</si>
  <si>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</si>
  <si>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</si>
  <si>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</si>
  <si>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</si>
  <si>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</si>
  <si>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</si>
  <si>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</si>
  <si>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</si>
  <si>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</si>
  <si>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</si>
  <si>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</si>
  <si>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</si>
  <si>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</si>
  <si>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</si>
  <si>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</si>
  <si>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</si>
  <si>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</si>
  <si>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</si>
  <si>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</si>
  <si>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</si>
  <si>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</si>
  <si>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</si>
  <si>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</si>
  <si>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</si>
  <si>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</si>
  <si>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</si>
  <si>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</si>
  <si>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</si>
  <si>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</si>
  <si>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</si>
  <si>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</si>
  <si>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</si>
  <si>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</si>
  <si>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</si>
  <si>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</si>
  <si>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</si>
  <si>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</si>
  <si>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</si>
  <si>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</si>
  <si>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</si>
  <si>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</si>
  <si>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</si>
  <si>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</si>
  <si>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</si>
  <si>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</si>
  <si>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</si>
  <si>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</si>
  <si>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</si>
  <si>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</si>
  <si>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</si>
  <si>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</si>
  <si>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</si>
  <si>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</si>
  <si>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</si>
  <si>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</si>
  <si>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</si>
  <si>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</si>
  <si>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</si>
  <si>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</si>
  <si>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</si>
  <si>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</si>
  <si>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</si>
  <si>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</si>
  <si>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Alexsander Alberto Valenzuela Santis</t>
  </si>
  <si>
    <t>Felipe Ramón Alexander Véliz Cid</t>
  </si>
  <si>
    <t xml:space="preserve">Patricio Moisés Azolas Pérez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</si>
</sst>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9"/>
  <sheetViews>
    <sheetView tabSelected="1" topLeftCell="A22" zoomScale="120" zoomScaleNormal="120" workbookViewId="0">
      <selection activeCell="C56" sqref="C5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6</v>
      </c>
      <c r="E4" s="43">
        <f>C4*C$2+D4*D$2</f>
        <v>6.75</v>
      </c>
      <c r="G4" s="1"/>
    </row>
    <row r="5" spans="1:11" x14ac:dyDescent="0.25">
      <c r="A5" s="5">
        <v>2</v>
      </c>
      <c r="B5" s="32" t="s">
        <v>96</v>
      </c>
      <c r="C5" s="6">
        <f>EVALUACION1!$C$24</f>
        <v>7</v>
      </c>
      <c r="D5" s="6">
        <f>C47</f>
        <v>7</v>
      </c>
      <c r="E5" s="43">
        <f t="shared" ref="E5:E6" si="0">C5*C$2+D5*D$2</f>
        <v>7</v>
      </c>
      <c r="G5" s="1"/>
    </row>
    <row r="6" spans="1:11" x14ac:dyDescent="0.25">
      <c r="A6" s="5">
        <v>3</v>
      </c>
      <c r="B6" s="32" t="s">
        <v>97</v>
      </c>
      <c r="C6" s="6">
        <f>EVALUACION1!$C$24</f>
        <v>7</v>
      </c>
      <c r="D6" s="6">
        <f>C58</f>
        <v>7</v>
      </c>
      <c r="E6" s="43">
        <f t="shared" si="0"/>
        <v>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1" t="s">
        <v>13</v>
      </c>
      <c r="B27" s="49" t="s">
        <v>14</v>
      </c>
      <c r="C27" s="51" t="str">
        <f>$B$4</f>
        <v>Alexsander Alberto Valenzuela Santis</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8</v>
      </c>
      <c r="D31" s="16" t="str">
        <f t="shared" ref="D31:D32" si="25">IF($C31=CL,"X","")</f>
        <v/>
      </c>
      <c r="E31" s="16" t="str">
        <f>IF(D31="X",100*0.1,"")</f>
        <v/>
      </c>
      <c r="F31" s="16" t="str">
        <f t="shared" ref="F31:F32" si="26">IF($C31=L,"X","")</f>
        <v>X</v>
      </c>
      <c r="G31" s="16">
        <f>IF(F31="X",60*0.1,"")</f>
        <v>6</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26</v>
      </c>
      <c r="D34" s="19"/>
      <c r="E34" s="19">
        <f>SUM(E31:E33)</f>
        <v>20</v>
      </c>
      <c r="F34" s="19"/>
      <c r="G34" s="19">
        <f t="shared" ref="G34:K34" si="30">SUM(G31:G33)</f>
        <v>6</v>
      </c>
      <c r="H34" s="19"/>
      <c r="I34" s="19">
        <f t="shared" si="30"/>
        <v>0</v>
      </c>
      <c r="J34" s="19"/>
      <c r="K34" s="19">
        <f t="shared" si="30"/>
        <v>0</v>
      </c>
    </row>
    <row r="35" spans="1:11" ht="15.75" customHeight="1" x14ac:dyDescent="0.3">
      <c r="A35" s="50"/>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Felipe Ramón Alexander Véliz Cid</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t="str">
        <f>B6</f>
        <v xml:space="preserve">Patricio Moisés Azolas Pérez </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user</cp:lastModifiedBy>
  <cp:revision/>
  <dcterms:created xsi:type="dcterms:W3CDTF">2023-08-07T04:08:01Z</dcterms:created>
  <dcterms:modified xsi:type="dcterms:W3CDTF">2026-09-22T04:33:33Z</dcterms:modified>
  <cp:category/>
  <cp:contentStatus/>
</cp:coreProperties>
</file>